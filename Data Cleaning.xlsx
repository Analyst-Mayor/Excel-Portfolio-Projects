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\Videos\Bootcamp\Schull Tech\Project\"/>
    </mc:Choice>
  </mc:AlternateContent>
  <xr:revisionPtr revIDLastSave="0" documentId="13_ncr:1_{13214DBF-E535-4B62-A5A9-3E0ECBE878F6}" xr6:coauthVersionLast="47" xr6:coauthVersionMax="47" xr10:uidLastSave="{00000000-0000-0000-0000-000000000000}"/>
  <bookViews>
    <workbookView xWindow="-120" yWindow="-120" windowWidth="29040" windowHeight="16440" xr2:uid="{8A31DDF6-E7A3-448C-B159-ECDBC597BA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4" i="1"/>
  <c r="G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</calcChain>
</file>

<file path=xl/sharedStrings.xml><?xml version="1.0" encoding="utf-8"?>
<sst xmlns="http://schemas.openxmlformats.org/spreadsheetml/2006/main" count="190" uniqueCount="127">
  <si>
    <t>Emp No.</t>
  </si>
  <si>
    <t>Full/Part Time</t>
  </si>
  <si>
    <t>Emp ID</t>
  </si>
  <si>
    <t>Last Name</t>
  </si>
  <si>
    <t>First Name</t>
  </si>
  <si>
    <t>Full Name</t>
  </si>
  <si>
    <t>Email</t>
  </si>
  <si>
    <t>Date of Hire</t>
  </si>
  <si>
    <t>Department</t>
  </si>
  <si>
    <t>Location</t>
  </si>
  <si>
    <t>Floor No.</t>
  </si>
  <si>
    <t>Wing</t>
  </si>
  <si>
    <t xml:space="preserve">Extension </t>
  </si>
  <si>
    <t>F</t>
  </si>
  <si>
    <t>Bacata</t>
  </si>
  <si>
    <t>Stevie</t>
  </si>
  <si>
    <t>Sales</t>
  </si>
  <si>
    <t>02-West-2635 </t>
  </si>
  <si>
    <t>BARRY</t>
  </si>
  <si>
    <t>Adam</t>
  </si>
  <si>
    <t>Customer Service</t>
  </si>
  <si>
    <t>02-West-2018 </t>
  </si>
  <si>
    <t>Betts</t>
  </si>
  <si>
    <t>Connor</t>
  </si>
  <si>
    <t>02-NorthEast-2347 </t>
  </si>
  <si>
    <t>P</t>
  </si>
  <si>
    <t>BINGA</t>
  </si>
  <si>
    <t>Fred</t>
  </si>
  <si>
    <t>Human Resources</t>
  </si>
  <si>
    <t>03-West-2764 </t>
  </si>
  <si>
    <t>Biti</t>
  </si>
  <si>
    <t>Yvette</t>
  </si>
  <si>
    <t>02-West-2589 _x001F_</t>
  </si>
  <si>
    <t>BOLLER</t>
  </si>
  <si>
    <t>Jim</t>
  </si>
  <si>
    <t>Accounting</t>
  </si>
  <si>
    <t>03-East-2318 </t>
  </si>
  <si>
    <t>Bui</t>
  </si>
  <si>
    <t>Charlie</t>
  </si>
  <si>
    <t>02-East-2694 </t>
  </si>
  <si>
    <t>Carlton</t>
  </si>
  <si>
    <t>Barbara</t>
  </si>
  <si>
    <t>02-West-2699 </t>
  </si>
  <si>
    <t>CAROL</t>
  </si>
  <si>
    <t>Joe</t>
  </si>
  <si>
    <t>Executive</t>
  </si>
  <si>
    <t>01-East-2321 </t>
  </si>
  <si>
    <t>CHAFFEE</t>
  </si>
  <si>
    <t>Facilities</t>
  </si>
  <si>
    <t>03-West-2432 </t>
  </si>
  <si>
    <t>Chairs</t>
  </si>
  <si>
    <t>Samantha</t>
  </si>
  <si>
    <t>02-West-2962 </t>
  </si>
  <si>
    <t>CHAUDRI</t>
  </si>
  <si>
    <t>Uma</t>
  </si>
  <si>
    <t>03-East-2134 _x001F_</t>
  </si>
  <si>
    <t>CHU</t>
  </si>
  <si>
    <t>Elizabeth</t>
  </si>
  <si>
    <t>IT</t>
  </si>
  <si>
    <t>01-West-2425 </t>
  </si>
  <si>
    <t>CHUNG</t>
  </si>
  <si>
    <t>Eric</t>
  </si>
  <si>
    <t>03-West-2796 </t>
  </si>
  <si>
    <t>CLARK</t>
  </si>
  <si>
    <t>ANNA</t>
  </si>
  <si>
    <t>03-West-2601 </t>
  </si>
  <si>
    <t>elizabeth</t>
  </si>
  <si>
    <t>02-NorthEast-2414 </t>
  </si>
  <si>
    <t>COLE</t>
  </si>
  <si>
    <t>Sabrina</t>
  </si>
  <si>
    <t>02-West-2537 </t>
  </si>
  <si>
    <t>COMUNTZIS</t>
  </si>
  <si>
    <t>Janet</t>
  </si>
  <si>
    <t>02-West-2286 </t>
  </si>
  <si>
    <t>DECKER</t>
  </si>
  <si>
    <t>Bob</t>
  </si>
  <si>
    <t>01-East-2086 _x001F_</t>
  </si>
  <si>
    <t>DESIATO</t>
  </si>
  <si>
    <t>Tina</t>
  </si>
  <si>
    <t>01-East-2358 </t>
  </si>
  <si>
    <t>DONNELL</t>
  </si>
  <si>
    <t>Alexandra</t>
  </si>
  <si>
    <t>03-West-2082 </t>
  </si>
  <si>
    <t>ELLIS</t>
  </si>
  <si>
    <t>Mark</t>
  </si>
  <si>
    <t>03-NorthEast-2482 </t>
  </si>
  <si>
    <t>Fernandes</t>
  </si>
  <si>
    <t>Nicholas</t>
  </si>
  <si>
    <t>02-East-2372 </t>
  </si>
  <si>
    <t>FERRIS</t>
  </si>
  <si>
    <t>Mary</t>
  </si>
  <si>
    <t>03-East-2392 </t>
  </si>
  <si>
    <t>FILOSA</t>
  </si>
  <si>
    <t>Susan</t>
  </si>
  <si>
    <t>02-West-2279 </t>
  </si>
  <si>
    <t>FLANDERS</t>
  </si>
  <si>
    <t>Daniel</t>
  </si>
  <si>
    <t>02-East-2639 </t>
  </si>
  <si>
    <t>Forrest</t>
  </si>
  <si>
    <t>Leighton</t>
  </si>
  <si>
    <t>02-East-2284 </t>
  </si>
  <si>
    <t>Gour</t>
  </si>
  <si>
    <t>Phoebe</t>
  </si>
  <si>
    <t>02-East-2910 </t>
  </si>
  <si>
    <t>Khan</t>
  </si>
  <si>
    <t>Mihael</t>
  </si>
  <si>
    <t>02-NorthEast-2294 </t>
  </si>
  <si>
    <t>SANDERS</t>
  </si>
  <si>
    <t>Sean</t>
  </si>
  <si>
    <t>03-West-2765 </t>
  </si>
  <si>
    <t>Senome</t>
  </si>
  <si>
    <t>Preston</t>
  </si>
  <si>
    <t>02-East-2260 </t>
  </si>
  <si>
    <t>Song</t>
  </si>
  <si>
    <t>Natasha</t>
  </si>
  <si>
    <t>02-East-2578 </t>
  </si>
  <si>
    <t>Staples</t>
  </si>
  <si>
    <t>Radhya</t>
  </si>
  <si>
    <t>02-East-2654 </t>
  </si>
  <si>
    <t>WANG</t>
  </si>
  <si>
    <t>Mei</t>
  </si>
  <si>
    <t>01-West-2783 </t>
  </si>
  <si>
    <t>Zhang</t>
  </si>
  <si>
    <t>Aanya</t>
  </si>
  <si>
    <t>02-East-2793 </t>
  </si>
  <si>
    <t>Month of Hire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</si>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</sst>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14" fontId="0" fillId="0" borderId="0" xfId="0" applyNumberFormat="1"/>
    <xf numFmtId="0" fontId="5" fillId="0" borderId="0" xfId="0" applyFont="1" applyAlignment="1">
      <alignment horizontal="left" wrapText="1"/>
    </xf>
    <xf numFmtId="0" fontId="1" fillId="0" borderId="0" xfId="1" applyAlignment="1">
      <alignment horizontal="left"/>
    </xf>
    <xf numFmtId="0" fontId="1" fillId="0" borderId="0" xfId="1"/>
    <xf numFmtId="0" fontId="3" fillId="3" borderId="0" xfId="2" applyFont="1" applyFill="1" applyBorder="1" applyAlignment="1">
      <alignment horizontal="left" wrapText="1"/>
    </xf>
    <xf numFmtId="0" fontId="3" fillId="3" borderId="0" xfId="2" applyFont="1" applyFill="1" applyBorder="1" applyAlignment="1">
      <alignment horizontal="left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A2F2-5E82-453C-99E5-3C79C0ADBF2D}">
  <dimension ref="A1:O38"/>
  <sheetViews>
    <sheetView tabSelected="1" zoomScale="74" workbookViewId="0"/>
  </sheetViews>
  <sheetFormatPr defaultRowHeight="15" x14ac:dyDescent="0.25"/>
  <cols>
    <col min="1" max="1" width="8.7109375" style="1" customWidth="1"/>
    <col min="2" max="2" width="13" bestFit="1" customWidth="1"/>
    <col min="3" max="3" width="14.5703125" customWidth="1"/>
    <col min="4" max="5" width="13" customWidth="1"/>
    <col min="6" max="6" width="18.85546875" customWidth="1"/>
    <col min="7" max="7" width="22.42578125" customWidth="1"/>
    <col min="8" max="8" width="14" customWidth="1"/>
    <col min="9" max="9" width="17.7109375" customWidth="1"/>
    <col min="10" max="10" width="18.7109375" customWidth="1"/>
    <col min="11" max="11" width="10.140625" customWidth="1"/>
    <col min="12" max="12" width="10.7109375" customWidth="1"/>
    <col min="13" max="13" width="19" bestFit="1" customWidth="1"/>
    <col min="14" max="14" width="16" bestFit="1" customWidth="1"/>
    <col min="15" max="15" width="13.85546875" customWidth="1"/>
  </cols>
  <sheetData>
    <row r="1" spans="1:15" ht="23.25" x14ac:dyDescent="0.35">
      <c r="A1" s="5"/>
      <c r="B1" s="6"/>
      <c r="C1" s="6"/>
    </row>
    <row r="3" spans="1:15" ht="19.149999999999999" customHeight="1" x14ac:dyDescent="0.25">
      <c r="A3" s="7" t="s">
        <v>0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125</v>
      </c>
      <c r="O3" s="7" t="s">
        <v>126</v>
      </c>
    </row>
    <row r="4" spans="1:15" x14ac:dyDescent="0.25">
      <c r="A4" s="1">
        <v>1180</v>
      </c>
      <c r="B4" t="s">
        <v>13</v>
      </c>
      <c r="C4" t="str">
        <f>CONCATENATE(B4,A4)</f>
        <v>F1180</v>
      </c>
      <c r="D4" t="s">
        <v>14</v>
      </c>
      <c r="E4" s="2" t="s">
        <v>15</v>
      </c>
      <c r="F4" t="str">
        <f>PROPER(CONCATENATE(E4," ",D4))</f>
        <v>Stevie Bacata</v>
      </c>
      <c r="G4" t="str">
        <f>LOWER((CONCATENATE(LEFT(E4,1),D4,"@zenco.com")))</f>
        <v>sbacata@zenco.com</v>
      </c>
      <c r="H4" s="3">
        <v>39551</v>
      </c>
      <c r="I4" s="4" t="s">
        <v>16</v>
      </c>
      <c r="J4" s="4" t="s">
        <v>17</v>
      </c>
      <c r="K4" s="4" t="str">
        <f>LEFT(J4,2)</f>
        <v>02</v>
      </c>
      <c r="L4" t="str">
        <f>SUBSTITUTE(MID(J4,4,FIND("-",J4,4)-4),"NorthEast","North")</f>
        <v>West</v>
      </c>
      <c r="M4" t="str">
        <f>RIGHT(SUBSTITUTE(CLEAN(J4),_xlfn.UNICHAR(160),""),4)</f>
        <v>2635</v>
      </c>
      <c r="N4">
        <f>MONTH(H4)</f>
        <v>4</v>
      </c>
      <c r="O4" t="str">
        <f>TEXT(H4,"mmmm")</f>
        <v>April</v>
      </c>
    </row>
    <row r="5" spans="1:15" x14ac:dyDescent="0.25">
      <c r="A5" s="1">
        <v>1110</v>
      </c>
      <c r="B5" t="s">
        <v>13</v>
      </c>
      <c r="C5" t="str">
        <f t="shared" ref="C5:C38" si="0">CONCATENATE(B5,A5)</f>
        <v>F1110</v>
      </c>
      <c r="D5" t="s">
        <v>18</v>
      </c>
      <c r="E5" s="2" t="s">
        <v>19</v>
      </c>
      <c r="F5" t="str">
        <f t="shared" ref="F5:F38" si="1">PROPER(CONCATENATE(E5," ",D5))</f>
        <v>Adam Barry</v>
      </c>
      <c r="G5" t="str">
        <f t="shared" ref="G5:G38" si="2">LOWER((CONCATENATE(LEFT(E5,1),D5,"@zenco.com")))</f>
        <v>abarry@zenco.com</v>
      </c>
      <c r="H5" s="3">
        <v>38099</v>
      </c>
      <c r="I5" s="4" t="s">
        <v>20</v>
      </c>
      <c r="J5" s="4" t="s">
        <v>21</v>
      </c>
      <c r="K5" s="4" t="str">
        <f t="shared" ref="K5:K38" si="3">LEFT(J5,2)</f>
        <v>02</v>
      </c>
      <c r="L5" t="str">
        <f t="shared" ref="L5:L38" si="4">SUBSTITUTE(MID(J5,4,FIND("-",J5,4)-4),"NorthEast","North")</f>
        <v>West</v>
      </c>
      <c r="M5" t="str">
        <f t="shared" ref="M5:M38" si="5">RIGHT(SUBSTITUTE(CLEAN(J5),_xlfn.UNICHAR(160),""),4)</f>
        <v>2018</v>
      </c>
      <c r="N5">
        <f t="shared" ref="N5:N38" si="6">MONTH(H5)</f>
        <v>4</v>
      </c>
      <c r="O5" t="str">
        <f t="shared" ref="O5:O38" si="7">TEXT(H5,"mmmm")</f>
        <v>April</v>
      </c>
    </row>
    <row r="6" spans="1:15" x14ac:dyDescent="0.25">
      <c r="A6" s="1">
        <v>1232</v>
      </c>
      <c r="B6" t="s">
        <v>13</v>
      </c>
      <c r="C6" t="str">
        <f t="shared" si="0"/>
        <v>F1232</v>
      </c>
      <c r="D6" t="s">
        <v>22</v>
      </c>
      <c r="E6" s="2" t="s">
        <v>23</v>
      </c>
      <c r="F6" t="str">
        <f t="shared" si="1"/>
        <v>Connor Betts</v>
      </c>
      <c r="G6" t="str">
        <f t="shared" si="2"/>
        <v>cbetts@zenco.com</v>
      </c>
      <c r="H6" s="3">
        <v>41956</v>
      </c>
      <c r="I6" s="4" t="s">
        <v>16</v>
      </c>
      <c r="J6" s="4" t="s">
        <v>24</v>
      </c>
      <c r="K6" s="4" t="str">
        <f t="shared" si="3"/>
        <v>02</v>
      </c>
      <c r="L6" t="str">
        <f t="shared" si="4"/>
        <v>North</v>
      </c>
      <c r="M6" t="str">
        <f t="shared" si="5"/>
        <v>2347</v>
      </c>
      <c r="N6">
        <f t="shared" si="6"/>
        <v>11</v>
      </c>
      <c r="O6" t="str">
        <f t="shared" si="7"/>
        <v>November</v>
      </c>
    </row>
    <row r="7" spans="1:15" x14ac:dyDescent="0.25">
      <c r="A7" s="1">
        <v>1243</v>
      </c>
      <c r="B7" t="s">
        <v>25</v>
      </c>
      <c r="C7" t="str">
        <f t="shared" si="0"/>
        <v>P1243</v>
      </c>
      <c r="D7" t="s">
        <v>26</v>
      </c>
      <c r="E7" s="2" t="s">
        <v>27</v>
      </c>
      <c r="F7" t="str">
        <f t="shared" si="1"/>
        <v>Fred Binga</v>
      </c>
      <c r="G7" t="str">
        <f t="shared" si="2"/>
        <v>fbinga@zenco.com</v>
      </c>
      <c r="H7" s="3">
        <v>42229</v>
      </c>
      <c r="I7" s="4" t="s">
        <v>28</v>
      </c>
      <c r="J7" s="4" t="s">
        <v>29</v>
      </c>
      <c r="K7" s="4" t="str">
        <f t="shared" si="3"/>
        <v>03</v>
      </c>
      <c r="L7" t="str">
        <f t="shared" si="4"/>
        <v>West</v>
      </c>
      <c r="M7" t="str">
        <f t="shared" si="5"/>
        <v>2764</v>
      </c>
      <c r="N7">
        <f t="shared" si="6"/>
        <v>8</v>
      </c>
      <c r="O7" t="str">
        <f t="shared" si="7"/>
        <v>August</v>
      </c>
    </row>
    <row r="8" spans="1:15" x14ac:dyDescent="0.25">
      <c r="A8" s="1">
        <v>1248</v>
      </c>
      <c r="B8" t="s">
        <v>25</v>
      </c>
      <c r="C8" t="str">
        <f t="shared" si="0"/>
        <v>P1248</v>
      </c>
      <c r="D8" t="s">
        <v>30</v>
      </c>
      <c r="E8" s="2" t="s">
        <v>31</v>
      </c>
      <c r="F8" t="str">
        <f t="shared" si="1"/>
        <v>Yvette Biti</v>
      </c>
      <c r="G8" t="str">
        <f t="shared" si="2"/>
        <v>ybiti@zenco.com</v>
      </c>
      <c r="H8" s="3">
        <v>42384</v>
      </c>
      <c r="I8" s="4" t="s">
        <v>16</v>
      </c>
      <c r="J8" s="4" t="s">
        <v>32</v>
      </c>
      <c r="K8" s="4" t="str">
        <f t="shared" si="3"/>
        <v>02</v>
      </c>
      <c r="L8" t="str">
        <f t="shared" si="4"/>
        <v>West</v>
      </c>
      <c r="M8" t="str">
        <f t="shared" si="5"/>
        <v>2589</v>
      </c>
      <c r="N8">
        <f t="shared" si="6"/>
        <v>1</v>
      </c>
      <c r="O8" t="str">
        <f t="shared" si="7"/>
        <v>January</v>
      </c>
    </row>
    <row r="9" spans="1:15" x14ac:dyDescent="0.25">
      <c r="A9" s="1">
        <v>1227</v>
      </c>
      <c r="B9" t="s">
        <v>25</v>
      </c>
      <c r="C9" t="str">
        <f t="shared" si="0"/>
        <v>P1227</v>
      </c>
      <c r="D9" t="s">
        <v>33</v>
      </c>
      <c r="E9" s="2" t="s">
        <v>34</v>
      </c>
      <c r="F9" t="str">
        <f t="shared" si="1"/>
        <v>Jim Boller</v>
      </c>
      <c r="G9" t="str">
        <f t="shared" si="2"/>
        <v>jboller@zenco.com</v>
      </c>
      <c r="H9" s="3">
        <v>41893</v>
      </c>
      <c r="I9" s="4" t="s">
        <v>35</v>
      </c>
      <c r="J9" s="4" t="s">
        <v>36</v>
      </c>
      <c r="K9" s="4" t="str">
        <f t="shared" si="3"/>
        <v>03</v>
      </c>
      <c r="L9" t="str">
        <f t="shared" si="4"/>
        <v>East</v>
      </c>
      <c r="M9" t="str">
        <f t="shared" si="5"/>
        <v>2318</v>
      </c>
      <c r="N9">
        <f t="shared" si="6"/>
        <v>9</v>
      </c>
      <c r="O9" t="str">
        <f t="shared" si="7"/>
        <v>September</v>
      </c>
    </row>
    <row r="10" spans="1:15" x14ac:dyDescent="0.25">
      <c r="A10" s="1">
        <v>1230</v>
      </c>
      <c r="B10" t="s">
        <v>25</v>
      </c>
      <c r="C10" t="str">
        <f t="shared" si="0"/>
        <v>P1230</v>
      </c>
      <c r="D10" t="s">
        <v>37</v>
      </c>
      <c r="E10" s="2" t="s">
        <v>38</v>
      </c>
      <c r="F10" t="str">
        <f t="shared" si="1"/>
        <v>Charlie Bui</v>
      </c>
      <c r="G10" t="str">
        <f t="shared" si="2"/>
        <v>cbui@zenco.com</v>
      </c>
      <c r="H10" s="3">
        <v>41903</v>
      </c>
      <c r="I10" s="4" t="s">
        <v>16</v>
      </c>
      <c r="J10" s="4" t="s">
        <v>39</v>
      </c>
      <c r="K10" s="4" t="str">
        <f t="shared" si="3"/>
        <v>02</v>
      </c>
      <c r="L10" t="str">
        <f t="shared" si="4"/>
        <v>East</v>
      </c>
      <c r="M10" t="str">
        <f t="shared" si="5"/>
        <v>2694</v>
      </c>
      <c r="N10">
        <f t="shared" si="6"/>
        <v>9</v>
      </c>
      <c r="O10" t="str">
        <f t="shared" si="7"/>
        <v>September</v>
      </c>
    </row>
    <row r="11" spans="1:15" x14ac:dyDescent="0.25">
      <c r="A11" s="1">
        <v>1162</v>
      </c>
      <c r="B11" t="s">
        <v>13</v>
      </c>
      <c r="C11" t="str">
        <f t="shared" si="0"/>
        <v>F1162</v>
      </c>
      <c r="D11" t="s">
        <v>40</v>
      </c>
      <c r="E11" s="2" t="s">
        <v>41</v>
      </c>
      <c r="F11" t="str">
        <f t="shared" si="1"/>
        <v>Barbara Carlton</v>
      </c>
      <c r="G11" t="str">
        <f t="shared" si="2"/>
        <v>bcarlton@zenco.com</v>
      </c>
      <c r="H11" s="3">
        <v>38798</v>
      </c>
      <c r="I11" s="4" t="s">
        <v>16</v>
      </c>
      <c r="J11" s="4" t="s">
        <v>42</v>
      </c>
      <c r="K11" s="4" t="str">
        <f t="shared" si="3"/>
        <v>02</v>
      </c>
      <c r="L11" t="str">
        <f t="shared" si="4"/>
        <v>West</v>
      </c>
      <c r="M11" t="str">
        <f t="shared" si="5"/>
        <v>2699</v>
      </c>
      <c r="N11">
        <f t="shared" si="6"/>
        <v>3</v>
      </c>
      <c r="O11" t="str">
        <f t="shared" si="7"/>
        <v>March</v>
      </c>
    </row>
    <row r="12" spans="1:15" x14ac:dyDescent="0.25">
      <c r="A12" s="1">
        <v>1001</v>
      </c>
      <c r="B12" t="s">
        <v>25</v>
      </c>
      <c r="C12" t="str">
        <f t="shared" si="0"/>
        <v>P1001</v>
      </c>
      <c r="D12" t="s">
        <v>43</v>
      </c>
      <c r="E12" s="2" t="s">
        <v>44</v>
      </c>
      <c r="F12" t="str">
        <f t="shared" si="1"/>
        <v>Joe Carol</v>
      </c>
      <c r="G12" t="str">
        <f t="shared" si="2"/>
        <v>jcarol@zenco.com</v>
      </c>
      <c r="H12" s="3">
        <v>36923</v>
      </c>
      <c r="I12" s="4" t="s">
        <v>45</v>
      </c>
      <c r="J12" s="4" t="s">
        <v>46</v>
      </c>
      <c r="K12" s="4" t="str">
        <f t="shared" si="3"/>
        <v>01</v>
      </c>
      <c r="L12" t="str">
        <f t="shared" si="4"/>
        <v>East</v>
      </c>
      <c r="M12" t="str">
        <f t="shared" si="5"/>
        <v>2321</v>
      </c>
      <c r="N12">
        <f t="shared" si="6"/>
        <v>2</v>
      </c>
      <c r="O12" t="str">
        <f t="shared" si="7"/>
        <v>February</v>
      </c>
    </row>
    <row r="13" spans="1:15" x14ac:dyDescent="0.25">
      <c r="A13" s="1">
        <v>1224</v>
      </c>
      <c r="B13" t="s">
        <v>13</v>
      </c>
      <c r="C13" t="str">
        <f t="shared" si="0"/>
        <v>F1224</v>
      </c>
      <c r="D13" t="s">
        <v>47</v>
      </c>
      <c r="E13" s="2" t="s">
        <v>34</v>
      </c>
      <c r="F13" t="str">
        <f t="shared" si="1"/>
        <v>Jim Chaffee</v>
      </c>
      <c r="G13" t="str">
        <f t="shared" si="2"/>
        <v>jchaffee@zenco.com</v>
      </c>
      <c r="H13" s="3">
        <v>41787</v>
      </c>
      <c r="I13" s="4" t="s">
        <v>48</v>
      </c>
      <c r="J13" s="4" t="s">
        <v>49</v>
      </c>
      <c r="K13" s="4" t="str">
        <f t="shared" si="3"/>
        <v>03</v>
      </c>
      <c r="L13" t="str">
        <f t="shared" si="4"/>
        <v>West</v>
      </c>
      <c r="M13" t="str">
        <f t="shared" si="5"/>
        <v>2432</v>
      </c>
      <c r="N13">
        <f t="shared" si="6"/>
        <v>5</v>
      </c>
      <c r="O13" t="str">
        <f t="shared" si="7"/>
        <v>May</v>
      </c>
    </row>
    <row r="14" spans="1:15" x14ac:dyDescent="0.25">
      <c r="A14" s="1">
        <v>1203</v>
      </c>
      <c r="B14" t="s">
        <v>25</v>
      </c>
      <c r="C14" t="str">
        <f t="shared" si="0"/>
        <v>P1203</v>
      </c>
      <c r="D14" t="s">
        <v>50</v>
      </c>
      <c r="E14" s="2" t="s">
        <v>51</v>
      </c>
      <c r="F14" t="str">
        <f t="shared" si="1"/>
        <v>Samantha Chairs</v>
      </c>
      <c r="G14" t="str">
        <f t="shared" si="2"/>
        <v>schairs@zenco.com</v>
      </c>
      <c r="H14" s="3">
        <v>40595</v>
      </c>
      <c r="I14" s="4" t="s">
        <v>16</v>
      </c>
      <c r="J14" s="4" t="s">
        <v>52</v>
      </c>
      <c r="K14" s="4" t="str">
        <f t="shared" si="3"/>
        <v>02</v>
      </c>
      <c r="L14" t="str">
        <f t="shared" si="4"/>
        <v>West</v>
      </c>
      <c r="M14" t="str">
        <f t="shared" si="5"/>
        <v>2962</v>
      </c>
      <c r="N14">
        <f t="shared" si="6"/>
        <v>2</v>
      </c>
      <c r="O14" t="str">
        <f t="shared" si="7"/>
        <v>February</v>
      </c>
    </row>
    <row r="15" spans="1:15" x14ac:dyDescent="0.25">
      <c r="A15" s="1">
        <v>1211</v>
      </c>
      <c r="B15" t="s">
        <v>25</v>
      </c>
      <c r="C15" t="str">
        <f t="shared" si="0"/>
        <v>P1211</v>
      </c>
      <c r="D15" t="s">
        <v>53</v>
      </c>
      <c r="E15" s="2" t="s">
        <v>54</v>
      </c>
      <c r="F15" t="str">
        <f t="shared" si="1"/>
        <v>Uma Chaudri</v>
      </c>
      <c r="G15" t="str">
        <f t="shared" si="2"/>
        <v>uchaudri@zenco.com</v>
      </c>
      <c r="H15" s="3">
        <v>40994</v>
      </c>
      <c r="I15" s="4" t="s">
        <v>28</v>
      </c>
      <c r="J15" s="4" t="s">
        <v>55</v>
      </c>
      <c r="K15" s="4" t="str">
        <f t="shared" si="3"/>
        <v>03</v>
      </c>
      <c r="L15" t="str">
        <f t="shared" si="4"/>
        <v>East</v>
      </c>
      <c r="M15" t="str">
        <f t="shared" si="5"/>
        <v>2134</v>
      </c>
      <c r="N15">
        <f t="shared" si="6"/>
        <v>3</v>
      </c>
      <c r="O15" t="str">
        <f t="shared" si="7"/>
        <v>March</v>
      </c>
    </row>
    <row r="16" spans="1:15" x14ac:dyDescent="0.25">
      <c r="A16" s="1">
        <v>1198</v>
      </c>
      <c r="B16" t="s">
        <v>25</v>
      </c>
      <c r="C16" t="str">
        <f t="shared" si="0"/>
        <v>P1198</v>
      </c>
      <c r="D16" t="s">
        <v>56</v>
      </c>
      <c r="E16" s="2" t="s">
        <v>57</v>
      </c>
      <c r="F16" t="str">
        <f t="shared" si="1"/>
        <v>Elizabeth Chu</v>
      </c>
      <c r="G16" t="str">
        <f t="shared" si="2"/>
        <v>echu@zenco.com</v>
      </c>
      <c r="H16" s="3">
        <v>40220</v>
      </c>
      <c r="I16" s="4" t="s">
        <v>58</v>
      </c>
      <c r="J16" s="4" t="s">
        <v>59</v>
      </c>
      <c r="K16" s="4" t="str">
        <f t="shared" si="3"/>
        <v>01</v>
      </c>
      <c r="L16" t="str">
        <f t="shared" si="4"/>
        <v>West</v>
      </c>
      <c r="M16" t="str">
        <f t="shared" si="5"/>
        <v>2425</v>
      </c>
      <c r="N16">
        <f t="shared" si="6"/>
        <v>2</v>
      </c>
      <c r="O16" t="str">
        <f t="shared" si="7"/>
        <v>February</v>
      </c>
    </row>
    <row r="17" spans="1:15" x14ac:dyDescent="0.25">
      <c r="A17" s="1">
        <v>1003</v>
      </c>
      <c r="B17" t="s">
        <v>13</v>
      </c>
      <c r="C17" t="str">
        <f t="shared" si="0"/>
        <v>F1003</v>
      </c>
      <c r="D17" t="s">
        <v>60</v>
      </c>
      <c r="E17" s="2" t="s">
        <v>61</v>
      </c>
      <c r="F17" t="str">
        <f t="shared" si="1"/>
        <v>Eric Chung</v>
      </c>
      <c r="G17" t="str">
        <f t="shared" si="2"/>
        <v>echung@zenco.com</v>
      </c>
      <c r="H17" s="3">
        <v>36949</v>
      </c>
      <c r="I17" s="4" t="s">
        <v>58</v>
      </c>
      <c r="J17" s="4" t="s">
        <v>62</v>
      </c>
      <c r="K17" s="4" t="str">
        <f t="shared" si="3"/>
        <v>03</v>
      </c>
      <c r="L17" t="str">
        <f t="shared" si="4"/>
        <v>West</v>
      </c>
      <c r="M17" t="str">
        <f t="shared" si="5"/>
        <v>2796</v>
      </c>
      <c r="N17">
        <f t="shared" si="6"/>
        <v>2</v>
      </c>
      <c r="O17" t="str">
        <f t="shared" si="7"/>
        <v>February</v>
      </c>
    </row>
    <row r="18" spans="1:15" x14ac:dyDescent="0.25">
      <c r="A18" s="1">
        <v>1235</v>
      </c>
      <c r="B18" t="s">
        <v>13</v>
      </c>
      <c r="C18" t="str">
        <f t="shared" si="0"/>
        <v>F1235</v>
      </c>
      <c r="D18" t="s">
        <v>63</v>
      </c>
      <c r="E18" s="2" t="s">
        <v>64</v>
      </c>
      <c r="F18" t="str">
        <f t="shared" si="1"/>
        <v>Anna Clark</v>
      </c>
      <c r="G18" t="str">
        <f t="shared" si="2"/>
        <v>aclark@zenco.com</v>
      </c>
      <c r="H18" s="3">
        <v>41989</v>
      </c>
      <c r="I18" s="4" t="s">
        <v>35</v>
      </c>
      <c r="J18" s="4" t="s">
        <v>65</v>
      </c>
      <c r="K18" s="4" t="str">
        <f t="shared" si="3"/>
        <v>03</v>
      </c>
      <c r="L18" t="str">
        <f t="shared" si="4"/>
        <v>West</v>
      </c>
      <c r="M18" t="str">
        <f t="shared" si="5"/>
        <v>2601</v>
      </c>
      <c r="N18">
        <f t="shared" si="6"/>
        <v>12</v>
      </c>
      <c r="O18" t="str">
        <f t="shared" si="7"/>
        <v>December</v>
      </c>
    </row>
    <row r="19" spans="1:15" x14ac:dyDescent="0.25">
      <c r="A19" s="1">
        <v>1253</v>
      </c>
      <c r="B19" t="s">
        <v>25</v>
      </c>
      <c r="C19" t="str">
        <f t="shared" si="0"/>
        <v>P1253</v>
      </c>
      <c r="D19" t="s">
        <v>63</v>
      </c>
      <c r="E19" s="2" t="s">
        <v>66</v>
      </c>
      <c r="F19" t="str">
        <f t="shared" si="1"/>
        <v>Elizabeth Clark</v>
      </c>
      <c r="G19" t="str">
        <f t="shared" si="2"/>
        <v>eclark@zenco.com</v>
      </c>
      <c r="H19" s="3">
        <v>42905</v>
      </c>
      <c r="I19" s="4" t="s">
        <v>20</v>
      </c>
      <c r="J19" s="4" t="s">
        <v>67</v>
      </c>
      <c r="K19" s="4" t="str">
        <f t="shared" si="3"/>
        <v>02</v>
      </c>
      <c r="L19" t="str">
        <f t="shared" si="4"/>
        <v>North</v>
      </c>
      <c r="M19" t="str">
        <f t="shared" si="5"/>
        <v>2414</v>
      </c>
      <c r="N19">
        <f t="shared" si="6"/>
        <v>6</v>
      </c>
      <c r="O19" t="str">
        <f t="shared" si="7"/>
        <v>June</v>
      </c>
    </row>
    <row r="20" spans="1:15" x14ac:dyDescent="0.25">
      <c r="A20" s="1">
        <v>1221</v>
      </c>
      <c r="B20" t="s">
        <v>25</v>
      </c>
      <c r="C20" t="str">
        <f t="shared" si="0"/>
        <v>P1221</v>
      </c>
      <c r="D20" t="s">
        <v>68</v>
      </c>
      <c r="E20" s="2" t="s">
        <v>69</v>
      </c>
      <c r="F20" t="str">
        <f t="shared" si="1"/>
        <v>Sabrina Cole</v>
      </c>
      <c r="G20" t="str">
        <f t="shared" si="2"/>
        <v>scole@zenco.com</v>
      </c>
      <c r="H20" s="3">
        <v>41401</v>
      </c>
      <c r="I20" s="4" t="s">
        <v>20</v>
      </c>
      <c r="J20" s="4" t="s">
        <v>70</v>
      </c>
      <c r="K20" s="4" t="str">
        <f t="shared" si="3"/>
        <v>02</v>
      </c>
      <c r="L20" t="str">
        <f t="shared" si="4"/>
        <v>West</v>
      </c>
      <c r="M20" t="str">
        <f t="shared" si="5"/>
        <v>2537</v>
      </c>
      <c r="N20">
        <f t="shared" si="6"/>
        <v>5</v>
      </c>
      <c r="O20" t="str">
        <f t="shared" si="7"/>
        <v>May</v>
      </c>
    </row>
    <row r="21" spans="1:15" x14ac:dyDescent="0.25">
      <c r="A21" s="1">
        <v>1186</v>
      </c>
      <c r="B21" t="s">
        <v>13</v>
      </c>
      <c r="C21" t="str">
        <f t="shared" si="0"/>
        <v>F1186</v>
      </c>
      <c r="D21" t="s">
        <v>71</v>
      </c>
      <c r="E21" s="2" t="s">
        <v>72</v>
      </c>
      <c r="F21" t="str">
        <f t="shared" si="1"/>
        <v>Janet Comuntzis</v>
      </c>
      <c r="G21" t="str">
        <f t="shared" si="2"/>
        <v>jcomuntzis@zenco.com</v>
      </c>
      <c r="H21" s="3">
        <v>39686</v>
      </c>
      <c r="I21" s="4" t="s">
        <v>20</v>
      </c>
      <c r="J21" s="4" t="s">
        <v>73</v>
      </c>
      <c r="K21" s="4" t="str">
        <f t="shared" si="3"/>
        <v>02</v>
      </c>
      <c r="L21" t="str">
        <f t="shared" si="4"/>
        <v>West</v>
      </c>
      <c r="M21" t="str">
        <f t="shared" si="5"/>
        <v>2286</v>
      </c>
      <c r="N21">
        <f t="shared" si="6"/>
        <v>8</v>
      </c>
      <c r="O21" t="str">
        <f t="shared" si="7"/>
        <v>August</v>
      </c>
    </row>
    <row r="22" spans="1:15" x14ac:dyDescent="0.25">
      <c r="A22" s="1">
        <v>1218</v>
      </c>
      <c r="B22" t="s">
        <v>25</v>
      </c>
      <c r="C22" t="str">
        <f t="shared" si="0"/>
        <v>P1218</v>
      </c>
      <c r="D22" t="s">
        <v>74</v>
      </c>
      <c r="E22" s="2" t="s">
        <v>75</v>
      </c>
      <c r="F22" t="str">
        <f t="shared" si="1"/>
        <v>Bob Decker</v>
      </c>
      <c r="G22" t="str">
        <f t="shared" si="2"/>
        <v>bdecker@zenco.com</v>
      </c>
      <c r="H22" s="3">
        <v>41210</v>
      </c>
      <c r="I22" s="4" t="s">
        <v>58</v>
      </c>
      <c r="J22" s="4" t="s">
        <v>76</v>
      </c>
      <c r="K22" s="4" t="str">
        <f t="shared" si="3"/>
        <v>01</v>
      </c>
      <c r="L22" t="str">
        <f t="shared" si="4"/>
        <v>East</v>
      </c>
      <c r="M22" t="str">
        <f t="shared" si="5"/>
        <v>2086</v>
      </c>
      <c r="N22">
        <f t="shared" si="6"/>
        <v>10</v>
      </c>
      <c r="O22" t="str">
        <f t="shared" si="7"/>
        <v>October</v>
      </c>
    </row>
    <row r="23" spans="1:15" x14ac:dyDescent="0.25">
      <c r="A23" s="1">
        <v>1215</v>
      </c>
      <c r="B23" t="s">
        <v>13</v>
      </c>
      <c r="C23" t="str">
        <f t="shared" si="0"/>
        <v>F1215</v>
      </c>
      <c r="D23" t="s">
        <v>77</v>
      </c>
      <c r="E23" s="2" t="s">
        <v>78</v>
      </c>
      <c r="F23" t="str">
        <f t="shared" si="1"/>
        <v>Tina Desiato</v>
      </c>
      <c r="G23" t="str">
        <f t="shared" si="2"/>
        <v>tdesiato@zenco.com</v>
      </c>
      <c r="H23" s="3">
        <v>41175</v>
      </c>
      <c r="I23" t="s">
        <v>58</v>
      </c>
      <c r="J23" s="4" t="s">
        <v>79</v>
      </c>
      <c r="K23" s="4" t="str">
        <f t="shared" si="3"/>
        <v>01</v>
      </c>
      <c r="L23" t="str">
        <f t="shared" si="4"/>
        <v>East</v>
      </c>
      <c r="M23" t="str">
        <f t="shared" si="5"/>
        <v>2358</v>
      </c>
      <c r="N23">
        <f t="shared" si="6"/>
        <v>9</v>
      </c>
      <c r="O23" t="str">
        <f t="shared" si="7"/>
        <v>September</v>
      </c>
    </row>
    <row r="24" spans="1:15" x14ac:dyDescent="0.25">
      <c r="A24" s="1">
        <v>1241</v>
      </c>
      <c r="B24" t="s">
        <v>25</v>
      </c>
      <c r="C24" t="str">
        <f t="shared" si="0"/>
        <v>P1241</v>
      </c>
      <c r="D24" t="s">
        <v>80</v>
      </c>
      <c r="E24" s="2" t="s">
        <v>81</v>
      </c>
      <c r="F24" t="str">
        <f t="shared" si="1"/>
        <v>Alexandra Donnell</v>
      </c>
      <c r="G24" t="str">
        <f t="shared" si="2"/>
        <v>adonnell@zenco.com</v>
      </c>
      <c r="H24" s="3">
        <v>42228</v>
      </c>
      <c r="I24" s="4" t="s">
        <v>35</v>
      </c>
      <c r="J24" s="4" t="s">
        <v>82</v>
      </c>
      <c r="K24" s="4" t="str">
        <f t="shared" si="3"/>
        <v>03</v>
      </c>
      <c r="L24" t="str">
        <f t="shared" si="4"/>
        <v>West</v>
      </c>
      <c r="M24" t="str">
        <f t="shared" si="5"/>
        <v>2082</v>
      </c>
      <c r="N24">
        <f t="shared" si="6"/>
        <v>8</v>
      </c>
      <c r="O24" t="str">
        <f t="shared" si="7"/>
        <v>August</v>
      </c>
    </row>
    <row r="25" spans="1:15" x14ac:dyDescent="0.25">
      <c r="A25" s="1">
        <v>1246</v>
      </c>
      <c r="B25" t="s">
        <v>13</v>
      </c>
      <c r="C25" t="str">
        <f t="shared" si="0"/>
        <v>F1246</v>
      </c>
      <c r="D25" t="s">
        <v>83</v>
      </c>
      <c r="E25" s="2" t="s">
        <v>84</v>
      </c>
      <c r="F25" t="str">
        <f t="shared" si="1"/>
        <v>Mark Ellis</v>
      </c>
      <c r="G25" t="str">
        <f t="shared" si="2"/>
        <v>mellis@zenco.com</v>
      </c>
      <c r="H25" s="3">
        <v>42371</v>
      </c>
      <c r="I25" s="4" t="s">
        <v>58</v>
      </c>
      <c r="J25" s="4" t="s">
        <v>85</v>
      </c>
      <c r="K25" s="4" t="str">
        <f t="shared" si="3"/>
        <v>03</v>
      </c>
      <c r="L25" t="str">
        <f t="shared" si="4"/>
        <v>North</v>
      </c>
      <c r="M25" t="str">
        <f t="shared" si="5"/>
        <v>2482</v>
      </c>
      <c r="N25">
        <f t="shared" si="6"/>
        <v>1</v>
      </c>
      <c r="O25" t="str">
        <f t="shared" si="7"/>
        <v>January</v>
      </c>
    </row>
    <row r="26" spans="1:15" x14ac:dyDescent="0.25">
      <c r="A26" s="1">
        <v>1172</v>
      </c>
      <c r="B26" t="s">
        <v>13</v>
      </c>
      <c r="C26" t="str">
        <f t="shared" si="0"/>
        <v>F1172</v>
      </c>
      <c r="D26" t="s">
        <v>86</v>
      </c>
      <c r="E26" s="2" t="s">
        <v>87</v>
      </c>
      <c r="F26" t="str">
        <f t="shared" si="1"/>
        <v>Nicholas Fernandes</v>
      </c>
      <c r="G26" t="str">
        <f t="shared" si="2"/>
        <v>nfernandes@zenco.com</v>
      </c>
      <c r="H26" s="3">
        <v>39023</v>
      </c>
      <c r="I26" s="4" t="s">
        <v>35</v>
      </c>
      <c r="J26" s="4" t="s">
        <v>88</v>
      </c>
      <c r="K26" s="4" t="str">
        <f t="shared" si="3"/>
        <v>02</v>
      </c>
      <c r="L26" t="str">
        <f t="shared" si="4"/>
        <v>East</v>
      </c>
      <c r="M26" t="str">
        <f t="shared" si="5"/>
        <v>2372</v>
      </c>
      <c r="N26">
        <f t="shared" si="6"/>
        <v>11</v>
      </c>
      <c r="O26" t="str">
        <f t="shared" si="7"/>
        <v>November</v>
      </c>
    </row>
    <row r="27" spans="1:15" x14ac:dyDescent="0.25">
      <c r="A27" s="1">
        <v>1134</v>
      </c>
      <c r="B27" t="s">
        <v>13</v>
      </c>
      <c r="C27" t="str">
        <f t="shared" si="0"/>
        <v>F1134</v>
      </c>
      <c r="D27" t="s">
        <v>89</v>
      </c>
      <c r="E27" s="2" t="s">
        <v>90</v>
      </c>
      <c r="F27" t="str">
        <f t="shared" si="1"/>
        <v>Mary Ferris</v>
      </c>
      <c r="G27" t="str">
        <f t="shared" si="2"/>
        <v>mferris@zenco.com</v>
      </c>
      <c r="H27" s="3">
        <v>38548</v>
      </c>
      <c r="I27" s="4" t="s">
        <v>16</v>
      </c>
      <c r="J27" s="4" t="s">
        <v>91</v>
      </c>
      <c r="K27" s="4" t="str">
        <f t="shared" si="3"/>
        <v>03</v>
      </c>
      <c r="L27" t="str">
        <f t="shared" si="4"/>
        <v>East</v>
      </c>
      <c r="M27" t="str">
        <f t="shared" si="5"/>
        <v>2392</v>
      </c>
      <c r="N27">
        <f t="shared" si="6"/>
        <v>7</v>
      </c>
      <c r="O27" t="str">
        <f t="shared" si="7"/>
        <v>July</v>
      </c>
    </row>
    <row r="28" spans="1:15" x14ac:dyDescent="0.25">
      <c r="A28" s="1">
        <v>1150</v>
      </c>
      <c r="B28" t="s">
        <v>13</v>
      </c>
      <c r="C28" t="str">
        <f t="shared" si="0"/>
        <v>F1150</v>
      </c>
      <c r="D28" t="s">
        <v>92</v>
      </c>
      <c r="E28" s="2" t="s">
        <v>93</v>
      </c>
      <c r="F28" t="str">
        <f t="shared" si="1"/>
        <v>Susan Filosa</v>
      </c>
      <c r="G28" t="str">
        <f t="shared" si="2"/>
        <v>sfilosa@zenco.com</v>
      </c>
      <c r="H28" s="3">
        <v>38744</v>
      </c>
      <c r="I28" s="4" t="s">
        <v>20</v>
      </c>
      <c r="J28" s="4" t="s">
        <v>94</v>
      </c>
      <c r="K28" s="4" t="str">
        <f t="shared" si="3"/>
        <v>02</v>
      </c>
      <c r="L28" t="str">
        <f t="shared" si="4"/>
        <v>West</v>
      </c>
      <c r="M28" t="str">
        <f t="shared" si="5"/>
        <v>2279</v>
      </c>
      <c r="N28">
        <f t="shared" si="6"/>
        <v>1</v>
      </c>
      <c r="O28" t="str">
        <f t="shared" si="7"/>
        <v>January</v>
      </c>
    </row>
    <row r="29" spans="1:15" x14ac:dyDescent="0.25">
      <c r="A29" s="1">
        <v>1004</v>
      </c>
      <c r="B29" t="s">
        <v>25</v>
      </c>
      <c r="C29" t="str">
        <f t="shared" si="0"/>
        <v>P1004</v>
      </c>
      <c r="D29" t="s">
        <v>95</v>
      </c>
      <c r="E29" s="2" t="s">
        <v>96</v>
      </c>
      <c r="F29" t="str">
        <f t="shared" si="1"/>
        <v>Daniel Flanders</v>
      </c>
      <c r="G29" t="str">
        <f t="shared" si="2"/>
        <v>dflanders@zenco.com</v>
      </c>
      <c r="H29" s="3">
        <v>37510</v>
      </c>
      <c r="I29" s="4" t="s">
        <v>16</v>
      </c>
      <c r="J29" s="4" t="s">
        <v>97</v>
      </c>
      <c r="K29" s="4" t="str">
        <f t="shared" si="3"/>
        <v>02</v>
      </c>
      <c r="L29" t="str">
        <f t="shared" si="4"/>
        <v>East</v>
      </c>
      <c r="M29" t="str">
        <f t="shared" si="5"/>
        <v>2639</v>
      </c>
      <c r="N29">
        <f t="shared" si="6"/>
        <v>9</v>
      </c>
      <c r="O29" t="str">
        <f t="shared" si="7"/>
        <v>September</v>
      </c>
    </row>
    <row r="30" spans="1:15" x14ac:dyDescent="0.25">
      <c r="A30" s="1">
        <v>1239</v>
      </c>
      <c r="B30" t="s">
        <v>13</v>
      </c>
      <c r="C30" t="str">
        <f t="shared" si="0"/>
        <v>F1239</v>
      </c>
      <c r="D30" t="s">
        <v>98</v>
      </c>
      <c r="E30" s="2" t="s">
        <v>99</v>
      </c>
      <c r="F30" t="str">
        <f t="shared" si="1"/>
        <v>Leighton Forrest</v>
      </c>
      <c r="G30" t="str">
        <f t="shared" si="2"/>
        <v>lforrest@zenco.com</v>
      </c>
      <c r="H30" s="3">
        <v>42120</v>
      </c>
      <c r="I30" s="4" t="s">
        <v>16</v>
      </c>
      <c r="J30" s="4" t="s">
        <v>100</v>
      </c>
      <c r="K30" s="4" t="str">
        <f t="shared" si="3"/>
        <v>02</v>
      </c>
      <c r="L30" t="str">
        <f t="shared" si="4"/>
        <v>East</v>
      </c>
      <c r="M30" t="str">
        <f t="shared" si="5"/>
        <v>2284</v>
      </c>
      <c r="N30">
        <f t="shared" si="6"/>
        <v>4</v>
      </c>
      <c r="O30" t="str">
        <f t="shared" si="7"/>
        <v>April</v>
      </c>
    </row>
    <row r="31" spans="1:15" x14ac:dyDescent="0.25">
      <c r="A31" s="1">
        <v>1250</v>
      </c>
      <c r="B31" t="s">
        <v>13</v>
      </c>
      <c r="C31" t="str">
        <f t="shared" si="0"/>
        <v>F1250</v>
      </c>
      <c r="D31" t="s">
        <v>101</v>
      </c>
      <c r="E31" s="2" t="s">
        <v>102</v>
      </c>
      <c r="F31" t="str">
        <f t="shared" si="1"/>
        <v>Phoebe Gour</v>
      </c>
      <c r="G31" t="str">
        <f t="shared" si="2"/>
        <v>pgour@zenco.com</v>
      </c>
      <c r="H31" s="3">
        <v>42721</v>
      </c>
      <c r="I31" s="4" t="s">
        <v>16</v>
      </c>
      <c r="J31" s="4" t="s">
        <v>103</v>
      </c>
      <c r="K31" s="4" t="str">
        <f t="shared" si="3"/>
        <v>02</v>
      </c>
      <c r="L31" t="str">
        <f t="shared" si="4"/>
        <v>East</v>
      </c>
      <c r="M31" t="str">
        <f t="shared" si="5"/>
        <v>2910</v>
      </c>
      <c r="N31">
        <f t="shared" si="6"/>
        <v>12</v>
      </c>
      <c r="O31" t="str">
        <f t="shared" si="7"/>
        <v>December</v>
      </c>
    </row>
    <row r="32" spans="1:15" x14ac:dyDescent="0.25">
      <c r="A32" s="1">
        <v>1192</v>
      </c>
      <c r="B32" t="s">
        <v>25</v>
      </c>
      <c r="C32" t="str">
        <f t="shared" si="0"/>
        <v>P1192</v>
      </c>
      <c r="D32" t="s">
        <v>104</v>
      </c>
      <c r="E32" s="2" t="s">
        <v>105</v>
      </c>
      <c r="F32" t="str">
        <f t="shared" si="1"/>
        <v>Mihael Khan</v>
      </c>
      <c r="G32" t="str">
        <f t="shared" si="2"/>
        <v>mkhan@zenco.com</v>
      </c>
      <c r="H32" s="3">
        <v>40160</v>
      </c>
      <c r="I32" s="4" t="s">
        <v>16</v>
      </c>
      <c r="J32" s="4" t="s">
        <v>106</v>
      </c>
      <c r="K32" s="4" t="str">
        <f t="shared" si="3"/>
        <v>02</v>
      </c>
      <c r="L32" t="str">
        <f t="shared" si="4"/>
        <v>North</v>
      </c>
      <c r="M32" t="str">
        <f t="shared" si="5"/>
        <v>2294</v>
      </c>
      <c r="N32">
        <f t="shared" si="6"/>
        <v>12</v>
      </c>
      <c r="O32" t="str">
        <f t="shared" si="7"/>
        <v>December</v>
      </c>
    </row>
    <row r="33" spans="1:15" x14ac:dyDescent="0.25">
      <c r="A33" s="1">
        <v>1249</v>
      </c>
      <c r="B33" t="s">
        <v>25</v>
      </c>
      <c r="C33" t="str">
        <f t="shared" si="0"/>
        <v>P1249</v>
      </c>
      <c r="D33" t="s">
        <v>107</v>
      </c>
      <c r="E33" s="2" t="s">
        <v>108</v>
      </c>
      <c r="F33" t="str">
        <f t="shared" si="1"/>
        <v>Sean Sanders</v>
      </c>
      <c r="G33" t="str">
        <f t="shared" si="2"/>
        <v>ssanders@zenco.com</v>
      </c>
      <c r="H33" s="3">
        <v>42691</v>
      </c>
      <c r="I33" s="4" t="s">
        <v>28</v>
      </c>
      <c r="J33" s="4" t="s">
        <v>109</v>
      </c>
      <c r="K33" s="4" t="str">
        <f t="shared" si="3"/>
        <v>03</v>
      </c>
      <c r="L33" t="str">
        <f t="shared" si="4"/>
        <v>West</v>
      </c>
      <c r="M33" t="str">
        <f t="shared" si="5"/>
        <v>2765</v>
      </c>
      <c r="N33">
        <f t="shared" si="6"/>
        <v>11</v>
      </c>
      <c r="O33" t="str">
        <f t="shared" si="7"/>
        <v>November</v>
      </c>
    </row>
    <row r="34" spans="1:15" x14ac:dyDescent="0.25">
      <c r="A34" s="1">
        <v>1245</v>
      </c>
      <c r="B34" t="s">
        <v>25</v>
      </c>
      <c r="C34" t="str">
        <f t="shared" si="0"/>
        <v>P1245</v>
      </c>
      <c r="D34" t="s">
        <v>110</v>
      </c>
      <c r="E34" s="2" t="s">
        <v>111</v>
      </c>
      <c r="F34" t="str">
        <f t="shared" si="1"/>
        <v>Preston Senome</v>
      </c>
      <c r="G34" t="str">
        <f t="shared" si="2"/>
        <v>psenome@zenco.com</v>
      </c>
      <c r="H34" s="3">
        <v>42324</v>
      </c>
      <c r="I34" s="4" t="s">
        <v>16</v>
      </c>
      <c r="J34" s="4" t="s">
        <v>112</v>
      </c>
      <c r="K34" s="4" t="str">
        <f t="shared" si="3"/>
        <v>02</v>
      </c>
      <c r="L34" t="str">
        <f t="shared" si="4"/>
        <v>East</v>
      </c>
      <c r="M34" t="str">
        <f t="shared" si="5"/>
        <v>2260</v>
      </c>
      <c r="N34">
        <f t="shared" si="6"/>
        <v>11</v>
      </c>
      <c r="O34" t="str">
        <f t="shared" si="7"/>
        <v>November</v>
      </c>
    </row>
    <row r="35" spans="1:15" x14ac:dyDescent="0.25">
      <c r="A35" s="1">
        <v>1207</v>
      </c>
      <c r="B35" t="s">
        <v>25</v>
      </c>
      <c r="C35" t="str">
        <f t="shared" si="0"/>
        <v>P1207</v>
      </c>
      <c r="D35" t="s">
        <v>113</v>
      </c>
      <c r="E35" s="2" t="s">
        <v>114</v>
      </c>
      <c r="F35" t="str">
        <f t="shared" si="1"/>
        <v>Natasha Song</v>
      </c>
      <c r="G35" t="str">
        <f t="shared" si="2"/>
        <v>nsong@zenco.com</v>
      </c>
      <c r="H35" s="3">
        <v>40713</v>
      </c>
      <c r="I35" s="4" t="s">
        <v>16</v>
      </c>
      <c r="J35" s="4" t="s">
        <v>115</v>
      </c>
      <c r="K35" s="4" t="str">
        <f t="shared" si="3"/>
        <v>02</v>
      </c>
      <c r="L35" t="str">
        <f t="shared" si="4"/>
        <v>East</v>
      </c>
      <c r="M35" t="str">
        <f t="shared" si="5"/>
        <v>2578</v>
      </c>
      <c r="N35">
        <f t="shared" si="6"/>
        <v>6</v>
      </c>
      <c r="O35" t="str">
        <f t="shared" si="7"/>
        <v>June</v>
      </c>
    </row>
    <row r="36" spans="1:15" x14ac:dyDescent="0.25">
      <c r="A36" s="1">
        <v>1244</v>
      </c>
      <c r="B36" t="s">
        <v>25</v>
      </c>
      <c r="C36" t="str">
        <f t="shared" si="0"/>
        <v>P1244</v>
      </c>
      <c r="D36" t="s">
        <v>116</v>
      </c>
      <c r="E36" s="2" t="s">
        <v>117</v>
      </c>
      <c r="F36" t="str">
        <f t="shared" si="1"/>
        <v>Radhya Staples</v>
      </c>
      <c r="G36" t="str">
        <f t="shared" si="2"/>
        <v>rstaples@zenco.com</v>
      </c>
      <c r="H36" s="3">
        <v>42321</v>
      </c>
      <c r="I36" s="4" t="s">
        <v>16</v>
      </c>
      <c r="J36" s="4" t="s">
        <v>118</v>
      </c>
      <c r="K36" s="4" t="str">
        <f t="shared" si="3"/>
        <v>02</v>
      </c>
      <c r="L36" t="str">
        <f t="shared" si="4"/>
        <v>East</v>
      </c>
      <c r="M36" t="str">
        <f t="shared" si="5"/>
        <v>2654</v>
      </c>
      <c r="N36">
        <f t="shared" si="6"/>
        <v>11</v>
      </c>
      <c r="O36" t="str">
        <f t="shared" si="7"/>
        <v>November</v>
      </c>
    </row>
    <row r="37" spans="1:15" x14ac:dyDescent="0.25">
      <c r="A37" s="1">
        <v>1252</v>
      </c>
      <c r="B37" t="s">
        <v>13</v>
      </c>
      <c r="C37" t="str">
        <f t="shared" si="0"/>
        <v>F1252</v>
      </c>
      <c r="D37" t="s">
        <v>119</v>
      </c>
      <c r="E37" s="2" t="s">
        <v>120</v>
      </c>
      <c r="F37" t="str">
        <f t="shared" si="1"/>
        <v>Mei Wang</v>
      </c>
      <c r="G37" t="str">
        <f t="shared" si="2"/>
        <v>mwang@zenco.com</v>
      </c>
      <c r="H37" s="3">
        <v>40188</v>
      </c>
      <c r="I37" s="4" t="s">
        <v>45</v>
      </c>
      <c r="J37" s="4" t="s">
        <v>121</v>
      </c>
      <c r="K37" s="4" t="str">
        <f t="shared" si="3"/>
        <v>01</v>
      </c>
      <c r="L37" t="str">
        <f t="shared" si="4"/>
        <v>West</v>
      </c>
      <c r="M37" t="str">
        <f t="shared" si="5"/>
        <v>2783</v>
      </c>
      <c r="N37">
        <f t="shared" si="6"/>
        <v>1</v>
      </c>
      <c r="O37" t="str">
        <f t="shared" si="7"/>
        <v>January</v>
      </c>
    </row>
    <row r="38" spans="1:15" x14ac:dyDescent="0.25">
      <c r="A38" s="1">
        <v>1237</v>
      </c>
      <c r="B38" t="s">
        <v>13</v>
      </c>
      <c r="C38" t="str">
        <f t="shared" si="0"/>
        <v>F1237</v>
      </c>
      <c r="D38" t="s">
        <v>122</v>
      </c>
      <c r="E38" s="2" t="s">
        <v>123</v>
      </c>
      <c r="F38" t="str">
        <f t="shared" si="1"/>
        <v>Aanya Zhang</v>
      </c>
      <c r="G38" t="str">
        <f t="shared" si="2"/>
        <v>azhang@zenco.com</v>
      </c>
      <c r="H38" s="3">
        <v>42002</v>
      </c>
      <c r="I38" s="4" t="s">
        <v>16</v>
      </c>
      <c r="J38" s="4" t="s">
        <v>124</v>
      </c>
      <c r="K38" s="4" t="str">
        <f t="shared" si="3"/>
        <v>02</v>
      </c>
      <c r="L38" t="str">
        <f t="shared" si="4"/>
        <v>East</v>
      </c>
      <c r="M38" t="str">
        <f t="shared" si="5"/>
        <v>2793</v>
      </c>
      <c r="N38">
        <f t="shared" si="6"/>
        <v>12</v>
      </c>
      <c r="O38" t="str">
        <f t="shared" si="7"/>
        <v>December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Okesooto  Abiodun Mayowa</cp:lastModifiedBy>
  <dcterms:created xsi:type="dcterms:W3CDTF">2025-07-04T06:11:58Z</dcterms:created>
  <dcterms:modified xsi:type="dcterms:W3CDTF">2026-01-07T00:22:25Z</dcterms:modified>
</cp:coreProperties>
</file>